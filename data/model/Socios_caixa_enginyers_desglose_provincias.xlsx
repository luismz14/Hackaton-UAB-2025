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es" sheetId="1" state="visible" r:id="rId1"/>
    <sheet xmlns:r="http://schemas.openxmlformats.org/officeDocument/2006/relationships" name="Desglose por provincia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E5F1FB"/>
        <bgColor rgb="FFE5F1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Totales" displayName="TablaTotales" ref="A1:B18" headerRowCount="1">
  <autoFilter ref="A1:B18"/>
  <tableColumns count="2">
    <tableColumn id="1" name="Año"/>
    <tableColumn id="2" name="Socios_totales (mile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Desglose" displayName="TablaDesglose" ref="A1:G18" headerRowCount="1">
  <autoFilter ref="A1:G18"/>
  <tableColumns count="7">
    <tableColumn id="1" name="Año"/>
    <tableColumn id="2" name="Barcelona"/>
    <tableColumn id="3" name="Girona"/>
    <tableColumn id="4" name="Lleida"/>
    <tableColumn id="5" name="Tarragona"/>
    <tableColumn id="6" name="Total_provincias (miles)"/>
    <tableColumn id="7" name="Diferencia vs total (mile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Año</t>
        </is>
      </c>
      <c r="B1" s="1" t="inlineStr">
        <is>
          <t>Socios_totales (miles)</t>
        </is>
      </c>
    </row>
    <row r="2">
      <c r="A2" s="2" t="n">
        <v>2009</v>
      </c>
      <c r="B2" s="2" t="n">
        <v>98.86499999999999</v>
      </c>
    </row>
    <row r="3">
      <c r="A3" s="2" t="n">
        <v>2010</v>
      </c>
      <c r="B3" s="2" t="n">
        <v>104.151</v>
      </c>
    </row>
    <row r="4">
      <c r="A4" s="2" t="n">
        <v>2011</v>
      </c>
      <c r="B4" s="2" t="n">
        <v>107.932</v>
      </c>
    </row>
    <row r="5">
      <c r="A5" s="2" t="n">
        <v>2012</v>
      </c>
      <c r="B5" s="2" t="n">
        <v>113.691</v>
      </c>
    </row>
    <row r="6">
      <c r="A6" s="2" t="n">
        <v>2013</v>
      </c>
      <c r="B6" s="2" t="n">
        <v>121.911</v>
      </c>
    </row>
    <row r="7">
      <c r="A7" s="2" t="n">
        <v>2014</v>
      </c>
      <c r="B7" s="2" t="n">
        <v>129.922</v>
      </c>
    </row>
    <row r="8">
      <c r="A8" s="2" t="n">
        <v>2015</v>
      </c>
      <c r="B8" s="2" t="n">
        <v>141.043</v>
      </c>
    </row>
    <row r="9">
      <c r="A9" s="2" t="n">
        <v>2016</v>
      </c>
      <c r="B9" s="2" t="n">
        <v>142.597</v>
      </c>
    </row>
    <row r="10">
      <c r="A10" s="2" t="n">
        <v>2017</v>
      </c>
      <c r="B10" s="2" t="n">
        <v>160.412</v>
      </c>
    </row>
    <row r="11">
      <c r="A11" s="2" t="n">
        <v>2018</v>
      </c>
      <c r="B11" s="2" t="n">
        <v>187.41</v>
      </c>
    </row>
    <row r="12">
      <c r="A12" s="2" t="n">
        <v>2019</v>
      </c>
      <c r="B12" s="2" t="n">
        <v>204.112</v>
      </c>
    </row>
    <row r="13">
      <c r="A13" s="2" t="n">
        <v>2020</v>
      </c>
      <c r="B13" s="2" t="n">
        <v>209.748</v>
      </c>
    </row>
    <row r="14">
      <c r="A14" s="2" t="n">
        <v>2021</v>
      </c>
      <c r="B14" s="2" t="n">
        <v>212.074</v>
      </c>
    </row>
    <row r="15">
      <c r="A15" s="2" t="n">
        <v>2022</v>
      </c>
      <c r="B15" s="2" t="n">
        <v>215.489</v>
      </c>
    </row>
    <row r="16">
      <c r="A16" s="2" t="n">
        <v>2023</v>
      </c>
      <c r="B16" s="2" t="n">
        <v>213.289</v>
      </c>
    </row>
    <row r="17">
      <c r="A17" s="2" t="n">
        <v>2024</v>
      </c>
      <c r="B17" s="2" t="n">
        <v>216.32</v>
      </c>
    </row>
    <row r="18">
      <c r="A18" s="2" t="n">
        <v>2025</v>
      </c>
      <c r="B1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Año</t>
        </is>
      </c>
      <c r="B1" s="3" t="inlineStr">
        <is>
          <t>Barcelona</t>
        </is>
      </c>
      <c r="C1" s="3" t="inlineStr">
        <is>
          <t>Girona</t>
        </is>
      </c>
      <c r="D1" s="3" t="inlineStr">
        <is>
          <t>Lleida</t>
        </is>
      </c>
      <c r="E1" s="3" t="inlineStr">
        <is>
          <t>Tarragona</t>
        </is>
      </c>
      <c r="F1" s="3" t="inlineStr">
        <is>
          <t>Total_provincias (miles)</t>
        </is>
      </c>
      <c r="G1" s="3" t="inlineStr">
        <is>
          <t>Diferencia vs total (miles)</t>
        </is>
      </c>
    </row>
    <row r="2">
      <c r="A2" t="n">
        <v>2009</v>
      </c>
      <c r="B2" t="inlineStr"/>
      <c r="C2" t="inlineStr"/>
      <c r="D2" t="inlineStr"/>
      <c r="E2" t="inlineStr"/>
      <c r="F2">
        <f>SUM(B2:E2)</f>
        <v/>
      </c>
      <c r="G2">
        <f>IFERROR(F2-INDEX(Totales!$B:$B, MATCH(A2, Totales!$A:$A, 0)), "")</f>
        <v/>
      </c>
    </row>
    <row r="3">
      <c r="A3" t="n">
        <v>2010</v>
      </c>
      <c r="B3" t="inlineStr"/>
      <c r="C3" t="inlineStr"/>
      <c r="D3" t="inlineStr"/>
      <c r="E3" t="inlineStr"/>
      <c r="F3">
        <f>SUM(B3:E3)</f>
        <v/>
      </c>
      <c r="G3">
        <f>IFERROR(F3-INDEX(Totales!$B:$B, MATCH(A3, Totales!$A:$A, 0)), "")</f>
        <v/>
      </c>
    </row>
    <row r="4">
      <c r="A4" t="n">
        <v>2011</v>
      </c>
      <c r="B4" t="inlineStr"/>
      <c r="C4" t="inlineStr"/>
      <c r="D4" t="inlineStr"/>
      <c r="E4" t="inlineStr"/>
      <c r="F4">
        <f>SUM(B4:E4)</f>
        <v/>
      </c>
      <c r="G4">
        <f>IFERROR(F4-INDEX(Totales!$B:$B, MATCH(A4, Totales!$A:$A, 0)), "")</f>
        <v/>
      </c>
    </row>
    <row r="5">
      <c r="A5" t="n">
        <v>2012</v>
      </c>
      <c r="B5" t="inlineStr"/>
      <c r="C5" t="inlineStr"/>
      <c r="D5" t="inlineStr"/>
      <c r="E5" t="inlineStr"/>
      <c r="F5">
        <f>SUM(B5:E5)</f>
        <v/>
      </c>
      <c r="G5">
        <f>IFERROR(F5-INDEX(Totales!$B:$B, MATCH(A5, Totales!$A:$A, 0)), "")</f>
        <v/>
      </c>
    </row>
    <row r="6">
      <c r="A6" t="n">
        <v>2013</v>
      </c>
      <c r="B6" t="inlineStr"/>
      <c r="C6" t="inlineStr"/>
      <c r="D6" t="inlineStr"/>
      <c r="E6" t="inlineStr"/>
      <c r="F6">
        <f>SUM(B6:E6)</f>
        <v/>
      </c>
      <c r="G6">
        <f>IFERROR(F6-INDEX(Totales!$B:$B, MATCH(A6, Totales!$A:$A, 0)), "")</f>
        <v/>
      </c>
    </row>
    <row r="7">
      <c r="A7" t="n">
        <v>2014</v>
      </c>
      <c r="B7" t="inlineStr"/>
      <c r="C7" t="inlineStr"/>
      <c r="D7" t="inlineStr"/>
      <c r="E7" t="inlineStr"/>
      <c r="F7">
        <f>SUM(B7:E7)</f>
        <v/>
      </c>
      <c r="G7">
        <f>IFERROR(F7-INDEX(Totales!$B:$B, MATCH(A7, Totales!$A:$A, 0)), "")</f>
        <v/>
      </c>
    </row>
    <row r="8">
      <c r="A8" t="n">
        <v>2015</v>
      </c>
      <c r="B8" t="inlineStr"/>
      <c r="C8" t="inlineStr"/>
      <c r="D8" t="inlineStr"/>
      <c r="E8" t="inlineStr"/>
      <c r="F8">
        <f>SUM(B8:E8)</f>
        <v/>
      </c>
      <c r="G8">
        <f>IFERROR(F8-INDEX(Totales!$B:$B, MATCH(A8, Totales!$A:$A, 0)), "")</f>
        <v/>
      </c>
    </row>
    <row r="9">
      <c r="A9" t="n">
        <v>2016</v>
      </c>
      <c r="B9" t="inlineStr"/>
      <c r="C9" t="inlineStr"/>
      <c r="D9" t="inlineStr"/>
      <c r="E9" t="inlineStr"/>
      <c r="F9">
        <f>SUM(B9:E9)</f>
        <v/>
      </c>
      <c r="G9">
        <f>IFERROR(F9-INDEX(Totales!$B:$B, MATCH(A9, Totales!$A:$A, 0)), "")</f>
        <v/>
      </c>
    </row>
    <row r="10">
      <c r="A10" t="n">
        <v>2017</v>
      </c>
      <c r="B10" t="inlineStr"/>
      <c r="C10" t="inlineStr"/>
      <c r="D10" t="inlineStr"/>
      <c r="E10" t="inlineStr"/>
      <c r="F10">
        <f>SUM(B10:E10)</f>
        <v/>
      </c>
      <c r="G10">
        <f>IFERROR(F10-INDEX(Totales!$B:$B, MATCH(A10, Totales!$A:$A, 0)), "")</f>
        <v/>
      </c>
    </row>
    <row r="11">
      <c r="A11" t="n">
        <v>2018</v>
      </c>
      <c r="B11" t="inlineStr"/>
      <c r="C11" t="inlineStr"/>
      <c r="D11" t="inlineStr"/>
      <c r="E11" t="inlineStr"/>
      <c r="F11">
        <f>SUM(B11:E11)</f>
        <v/>
      </c>
      <c r="G11">
        <f>IFERROR(F11-INDEX(Totales!$B:$B, MATCH(A11, Totales!$A:$A, 0)), "")</f>
        <v/>
      </c>
    </row>
    <row r="12">
      <c r="A12" t="n">
        <v>2019</v>
      </c>
      <c r="B12" t="inlineStr"/>
      <c r="C12" t="inlineStr"/>
      <c r="D12" t="inlineStr"/>
      <c r="E12" t="inlineStr"/>
      <c r="F12">
        <f>SUM(B12:E12)</f>
        <v/>
      </c>
      <c r="G12">
        <f>IFERROR(F12-INDEX(Totales!$B:$B, MATCH(A12, Totales!$A:$A, 0)), "")</f>
        <v/>
      </c>
    </row>
    <row r="13">
      <c r="A13" t="n">
        <v>2020</v>
      </c>
      <c r="B13" t="inlineStr"/>
      <c r="C13" t="inlineStr"/>
      <c r="D13" t="inlineStr"/>
      <c r="E13" t="inlineStr"/>
      <c r="F13">
        <f>SUM(B13:E13)</f>
        <v/>
      </c>
      <c r="G13">
        <f>IFERROR(F13-INDEX(Totales!$B:$B, MATCH(A13, Totales!$A:$A, 0)), "")</f>
        <v/>
      </c>
    </row>
    <row r="14">
      <c r="A14" t="n">
        <v>2021</v>
      </c>
      <c r="B14" t="inlineStr"/>
      <c r="C14" t="inlineStr"/>
      <c r="D14" t="inlineStr"/>
      <c r="E14" t="inlineStr"/>
      <c r="F14">
        <f>SUM(B14:E14)</f>
        <v/>
      </c>
      <c r="G14">
        <f>IFERROR(F14-INDEX(Totales!$B:$B, MATCH(A14, Totales!$A:$A, 0)), "")</f>
        <v/>
      </c>
    </row>
    <row r="15">
      <c r="A15" t="n">
        <v>2022</v>
      </c>
      <c r="B15" t="inlineStr"/>
      <c r="C15" t="inlineStr"/>
      <c r="D15" t="inlineStr"/>
      <c r="E15" t="inlineStr"/>
      <c r="F15">
        <f>SUM(B15:E15)</f>
        <v/>
      </c>
      <c r="G15">
        <f>IFERROR(F15-INDEX(Totales!$B:$B, MATCH(A15, Totales!$A:$A, 0)), "")</f>
        <v/>
      </c>
    </row>
    <row r="16">
      <c r="A16" t="n">
        <v>2023</v>
      </c>
      <c r="B16" t="inlineStr"/>
      <c r="C16" t="inlineStr"/>
      <c r="D16" t="inlineStr"/>
      <c r="E16" t="inlineStr"/>
      <c r="F16">
        <f>SUM(B16:E16)</f>
        <v/>
      </c>
      <c r="G16">
        <f>IFERROR(F16-INDEX(Totales!$B:$B, MATCH(A16, Totales!$A:$A, 0)), "")</f>
        <v/>
      </c>
    </row>
    <row r="17">
      <c r="A17" t="n">
        <v>2024</v>
      </c>
      <c r="B17" t="inlineStr"/>
      <c r="C17" t="inlineStr"/>
      <c r="D17" t="inlineStr"/>
      <c r="E17" t="inlineStr"/>
      <c r="F17">
        <f>SUM(B17:E17)</f>
        <v/>
      </c>
      <c r="G17">
        <f>IFERROR(F17-INDEX(Totales!$B:$B, MATCH(A17, Totales!$A:$A, 0)), "")</f>
        <v/>
      </c>
    </row>
    <row r="18">
      <c r="A18" t="n">
        <v>2025</v>
      </c>
      <c r="B18" t="inlineStr"/>
      <c r="C18" t="inlineStr"/>
      <c r="D18" t="inlineStr"/>
      <c r="E18" t="inlineStr"/>
      <c r="F18">
        <f>SUM(B18:E18)</f>
        <v/>
      </c>
      <c r="G18">
        <f>IFERROR(F18-INDEX(Totales!$B:$B, MATCH(A18, Totales!$A:$A, 0)), 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Cómo usar este archivo</t>
        </is>
      </c>
    </row>
    <row r="3">
      <c r="A3" t="inlineStr">
        <is>
          <t>1) Rellena las columnas de Barcelona, Girona, Lleida y Tarragona con los socios (en miles) de cada año.</t>
        </is>
      </c>
    </row>
    <row r="4">
      <c r="A4" t="inlineStr">
        <is>
          <t>2) La columna 'Total_provincias (miles)' se calcula automáticamente como la suma por fila.</t>
        </is>
      </c>
    </row>
    <row r="5">
      <c r="A5" t="inlineStr">
        <is>
          <t>3) La columna 'Diferencia vs total (miles)' compara con los totales oficiales de la hoja 'Totales'.</t>
        </is>
      </c>
    </row>
    <row r="6">
      <c r="A6" t="inlineStr">
        <is>
          <t>4) Si prefieres otras provincias, renombra las columnas y añade más si es necesario; las fórmulas se ajustarán si extiendes la suma.</t>
        </is>
      </c>
    </row>
    <row r="8">
      <c r="A8" t="inlineStr">
        <is>
          <t>Notas:</t>
        </is>
      </c>
    </row>
    <row r="9">
      <c r="A9" t="inlineStr">
        <is>
          <t>• Las cifras están en miles de socios exactamente como en tu tabla.</t>
        </is>
      </c>
    </row>
    <row r="10">
      <c r="A10" t="inlineStr">
        <is>
          <t>• 2025 queda en blanco para que lo completes cuando tengas el 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2025-11-09T04:11:19Z</dcterms:created>
  <dcterms:modified xmlns:dcterms="http://purl.org/dc/terms/" xmlns:xsi="http://www.w3.org/2001/XMLSchema-instance" xsi:type="dcterms:W3CDTF">2025-11-09T04:11:19Z</dcterms:modified>
</cp:coreProperties>
</file>